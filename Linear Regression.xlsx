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old David\Downloads\"/>
    </mc:Choice>
  </mc:AlternateContent>
  <xr:revisionPtr revIDLastSave="0" documentId="13_ncr:1_{FF1FFEFE-F84F-4A7D-8379-CB857959A5B1}" xr6:coauthVersionLast="47" xr6:coauthVersionMax="47" xr10:uidLastSave="{00000000-0000-0000-0000-000000000000}"/>
  <bookViews>
    <workbookView xWindow="-105" yWindow="0" windowWidth="26010" windowHeight="20985" firstSheet="2" activeTab="2" xr2:uid="{00000000-000D-0000-FFFF-FFFF00000000}"/>
  </bookViews>
  <sheets>
    <sheet name="ChiSquare" sheetId="1" state="hidden" r:id="rId1"/>
    <sheet name="Sheet1" sheetId="2" state="hidden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18" i="3"/>
  <c r="B11" i="3"/>
  <c r="B7" i="2"/>
  <c r="B12" i="2"/>
  <c r="B11" i="2"/>
  <c r="B10" i="2"/>
  <c r="B14" i="2" s="1"/>
  <c r="B9" i="1"/>
  <c r="B6" i="1"/>
  <c r="H4" i="1"/>
  <c r="G4" i="1"/>
  <c r="F4" i="1"/>
  <c r="E4" i="1"/>
  <c r="D4" i="1"/>
  <c r="C4" i="1"/>
  <c r="B4" i="1"/>
  <c r="B10" i="1" l="1"/>
</calcChain>
</file>

<file path=xl/sharedStrings.xml><?xml version="1.0" encoding="utf-8"?>
<sst xmlns="http://schemas.openxmlformats.org/spreadsheetml/2006/main" count="40" uniqueCount="38">
  <si>
    <t>Day</t>
  </si>
  <si>
    <t>Mon</t>
  </si>
  <si>
    <t>Tue</t>
  </si>
  <si>
    <t>Wed</t>
  </si>
  <si>
    <t>Thu</t>
  </si>
  <si>
    <t>Fri</t>
  </si>
  <si>
    <t>Sat</t>
  </si>
  <si>
    <t>Sun</t>
  </si>
  <si>
    <t>Expected</t>
  </si>
  <si>
    <t>Observed</t>
  </si>
  <si>
    <t>(O-E)^2 / E</t>
  </si>
  <si>
    <t>Chi-Square Statistic</t>
  </si>
  <si>
    <t>Alpha</t>
  </si>
  <si>
    <t>Degrees of Freedom</t>
  </si>
  <si>
    <t>Critical Value</t>
  </si>
  <si>
    <t>Decision</t>
  </si>
  <si>
    <t>Probability of Dog (p)</t>
  </si>
  <si>
    <t>Probability of Cat</t>
  </si>
  <si>
    <t>Total Children (n)</t>
  </si>
  <si>
    <t>Children Preferring Dog (k)</t>
  </si>
  <si>
    <t>Children Preferring Cat</t>
  </si>
  <si>
    <t>Binomial Probability (Exactly 7 prefer dog)</t>
  </si>
  <si>
    <t>Manual Formula</t>
  </si>
  <si>
    <t>nCk</t>
  </si>
  <si>
    <t>p^k</t>
  </si>
  <si>
    <t>(1-p)^(n-k)</t>
  </si>
  <si>
    <t>Manual Probability</t>
  </si>
  <si>
    <t>Minutes running for the week</t>
  </si>
  <si>
    <t>Weight by week</t>
  </si>
  <si>
    <t>Pearson</t>
  </si>
  <si>
    <t>Assumptions:</t>
  </si>
  <si>
    <t>Y</t>
  </si>
  <si>
    <t>x</t>
  </si>
  <si>
    <t>m</t>
  </si>
  <si>
    <t>b</t>
  </si>
  <si>
    <t>Weight = 0.042(Minutes Running) + 175.57</t>
  </si>
  <si>
    <t>This shows a weak relationship between running time and weight in this dataset.</t>
  </si>
  <si>
    <t>I performed a linear regression using minutes running as the independent variable and weight as the dependent variable. Using Excel’s SLOPE and INTERCEPT functions, the regression equation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</si>
</sst>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Weight by week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Sheet2!$B$2:$B$9</c:f>
              <c:numCache>
                <c:formatCode>General</c:formatCode>
                <c:ptCount val="8"/>
                <c:pt idx="0">
                  <c:v>90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62</c:v>
                </c:pt>
                <c:pt idx="5">
                  <c:v>55</c:v>
                </c:pt>
                <c:pt idx="6">
                  <c:v>58</c:v>
                </c:pt>
                <c:pt idx="7">
                  <c:v>60</c:v>
                </c:pt>
              </c:numCache>
            </c:numRef>
          </c:xVal>
          <c:yVal>
            <c:numRef>
              <c:f>Sheet2!$C$2:$C$9</c:f>
              <c:numCache>
                <c:formatCode>General</c:formatCode>
                <c:ptCount val="8"/>
                <c:pt idx="0">
                  <c:v>180</c:v>
                </c:pt>
                <c:pt idx="1">
                  <c:v>178</c:v>
                </c:pt>
                <c:pt idx="2">
                  <c:v>179</c:v>
                </c:pt>
                <c:pt idx="3">
                  <c:v>177</c:v>
                </c:pt>
                <c:pt idx="4">
                  <c:v>180</c:v>
                </c:pt>
                <c:pt idx="5">
                  <c:v>179</c:v>
                </c:pt>
                <c:pt idx="6">
                  <c:v>177</c:v>
                </c:pt>
                <c:pt idx="7">
                  <c:v>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6-4748-A335-1395B4467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972991"/>
        <c:axId val="1396207295"/>
      </c:scatterChart>
      <c:valAx>
        <c:axId val="13309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07295"/>
        <c:crosses val="autoZero"/>
        <c:crossBetween val="midCat"/>
      </c:valAx>
      <c:valAx>
        <c:axId val="13962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7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</xdr:row>
      <xdr:rowOff>28576</xdr:rowOff>
    </xdr:from>
    <xdr:to>
      <xdr:col>14</xdr:col>
      <xdr:colOff>180975</xdr:colOff>
      <xdr:row>14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51F92-6403-625D-C749-A100D7A2E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I15" sqref="I15"/>
    </sheetView>
  </sheetViews>
  <sheetFormatPr defaultRowHeight="15" x14ac:dyDescent="0.25"/>
  <cols>
    <col min="1" max="1" width="1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</v>
      </c>
      <c r="C2">
        <v>72</v>
      </c>
      <c r="D2">
        <v>72</v>
      </c>
      <c r="E2">
        <v>75</v>
      </c>
      <c r="F2">
        <v>71</v>
      </c>
      <c r="G2">
        <v>76</v>
      </c>
      <c r="H2">
        <v>78</v>
      </c>
    </row>
    <row r="3" spans="1:8" x14ac:dyDescent="0.25">
      <c r="A3" t="s">
        <v>9</v>
      </c>
      <c r="B3">
        <v>77</v>
      </c>
      <c r="C3">
        <v>70</v>
      </c>
      <c r="D3">
        <v>71</v>
      </c>
      <c r="E3">
        <v>77</v>
      </c>
      <c r="F3">
        <v>68</v>
      </c>
      <c r="G3">
        <v>75</v>
      </c>
      <c r="H3">
        <v>76</v>
      </c>
    </row>
    <row r="4" spans="1:8" x14ac:dyDescent="0.25">
      <c r="A4" t="s">
        <v>10</v>
      </c>
      <c r="B4">
        <f t="shared" ref="B4:H4" si="0">(B3-B2)^2/B2</f>
        <v>1.282051282051282E-2</v>
      </c>
      <c r="C4">
        <f t="shared" si="0"/>
        <v>5.5555555555555552E-2</v>
      </c>
      <c r="D4">
        <f t="shared" si="0"/>
        <v>1.3888888888888888E-2</v>
      </c>
      <c r="E4">
        <f t="shared" si="0"/>
        <v>5.3333333333333337E-2</v>
      </c>
      <c r="F4">
        <f t="shared" si="0"/>
        <v>0.12676056338028169</v>
      </c>
      <c r="G4">
        <f t="shared" si="0"/>
        <v>1.3157894736842105E-2</v>
      </c>
      <c r="H4">
        <f t="shared" si="0"/>
        <v>5.128205128205128E-2</v>
      </c>
    </row>
    <row r="6" spans="1:8" x14ac:dyDescent="0.25">
      <c r="A6" t="s">
        <v>11</v>
      </c>
      <c r="B6">
        <f>SUM(B4:H4)</f>
        <v>0.32679879999746564</v>
      </c>
    </row>
    <row r="7" spans="1:8" x14ac:dyDescent="0.25">
      <c r="A7" t="s">
        <v>12</v>
      </c>
      <c r="B7">
        <v>0.05</v>
      </c>
    </row>
    <row r="8" spans="1:8" x14ac:dyDescent="0.25">
      <c r="A8" t="s">
        <v>13</v>
      </c>
      <c r="B8">
        <v>6</v>
      </c>
    </row>
    <row r="9" spans="1:8" x14ac:dyDescent="0.25">
      <c r="A9" t="s">
        <v>14</v>
      </c>
      <c r="B9">
        <f>_xlfn.CHISQ.INV.RT(B7,B8)</f>
        <v>12.591587243743978</v>
      </c>
    </row>
    <row r="10" spans="1:8" x14ac:dyDescent="0.25">
      <c r="A10" t="s">
        <v>15</v>
      </c>
      <c r="B10" t="str">
        <f>IF(B6&gt;B9,"Reject H0","Fail to Reject H0")</f>
        <v>Fail to Reject H0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C562-2068-4941-B915-05AE0F4BE99C}">
  <dimension ref="A1:B14"/>
  <sheetViews>
    <sheetView workbookViewId="0">
      <selection activeCell="B14" sqref="B14"/>
    </sheetView>
  </sheetViews>
  <sheetFormatPr defaultRowHeight="15" x14ac:dyDescent="0.25"/>
  <cols>
    <col min="1" max="1" width="24" customWidth="1"/>
  </cols>
  <sheetData>
    <row r="1" spans="1:2" x14ac:dyDescent="0.25">
      <c r="A1" s="2" t="s">
        <v>16</v>
      </c>
      <c r="B1" s="2">
        <v>0.5</v>
      </c>
    </row>
    <row r="2" spans="1:2" x14ac:dyDescent="0.25">
      <c r="A2" s="2" t="s">
        <v>17</v>
      </c>
      <c r="B2" s="2">
        <v>0.5</v>
      </c>
    </row>
    <row r="3" spans="1:2" x14ac:dyDescent="0.25">
      <c r="A3" s="2" t="s">
        <v>18</v>
      </c>
      <c r="B3" s="2">
        <v>10</v>
      </c>
    </row>
    <row r="4" spans="1:2" x14ac:dyDescent="0.25">
      <c r="A4" s="2" t="s">
        <v>19</v>
      </c>
      <c r="B4" s="2">
        <v>7</v>
      </c>
    </row>
    <row r="5" spans="1:2" x14ac:dyDescent="0.25">
      <c r="A5" s="2" t="s">
        <v>20</v>
      </c>
      <c r="B5" s="2">
        <v>3</v>
      </c>
    </row>
    <row r="6" spans="1:2" x14ac:dyDescent="0.25">
      <c r="A6" s="2"/>
      <c r="B6" s="2"/>
    </row>
    <row r="7" spans="1:2" x14ac:dyDescent="0.25">
      <c r="A7" s="2" t="s">
        <v>21</v>
      </c>
      <c r="B7" s="2">
        <f>_xlfn.BINOM.DIST(B4,B3,B1,FALSE)</f>
        <v>0.11718750000000003</v>
      </c>
    </row>
    <row r="8" spans="1:2" x14ac:dyDescent="0.25">
      <c r="A8" s="2"/>
      <c r="B8" s="2"/>
    </row>
    <row r="9" spans="1:2" x14ac:dyDescent="0.25">
      <c r="A9" s="2" t="s">
        <v>22</v>
      </c>
      <c r="B9" s="2"/>
    </row>
    <row r="10" spans="1:2" x14ac:dyDescent="0.25">
      <c r="A10" s="2" t="s">
        <v>23</v>
      </c>
      <c r="B10" s="2">
        <f>COMBIN(B3,B4)</f>
        <v>120</v>
      </c>
    </row>
    <row r="11" spans="1:2" x14ac:dyDescent="0.25">
      <c r="A11" s="2" t="s">
        <v>24</v>
      </c>
      <c r="B11" s="2">
        <f>B1^B4</f>
        <v>7.8125E-3</v>
      </c>
    </row>
    <row r="12" spans="1:2" x14ac:dyDescent="0.25">
      <c r="A12" s="2" t="s">
        <v>25</v>
      </c>
      <c r="B12" s="2">
        <f>(1-B1)^(B3-B4)</f>
        <v>0.125</v>
      </c>
    </row>
    <row r="13" spans="1:2" x14ac:dyDescent="0.25">
      <c r="A13" s="2"/>
      <c r="B13" s="2"/>
    </row>
    <row r="14" spans="1:2" x14ac:dyDescent="0.25">
      <c r="A14" s="2" t="s">
        <v>26</v>
      </c>
      <c r="B14" s="2">
        <f>B10*B11*B12</f>
        <v>0.1171875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2C9D-17AA-40EC-8DA7-6929C6E60E1A}">
  <dimension ref="A1:C24"/>
  <sheetViews>
    <sheetView tabSelected="1" workbookViewId="0">
      <selection activeCell="S13" sqref="S13"/>
    </sheetView>
  </sheetViews>
  <sheetFormatPr defaultRowHeight="15" x14ac:dyDescent="0.25"/>
  <cols>
    <col min="2" max="2" width="28" bestFit="1" customWidth="1"/>
    <col min="3" max="3" width="15.5703125" bestFit="1" customWidth="1"/>
  </cols>
  <sheetData>
    <row r="1" spans="1:3" x14ac:dyDescent="0.25">
      <c r="B1" s="3" t="s">
        <v>27</v>
      </c>
      <c r="C1" s="3" t="s">
        <v>28</v>
      </c>
    </row>
    <row r="2" spans="1:3" x14ac:dyDescent="0.25">
      <c r="B2" s="4">
        <v>90</v>
      </c>
      <c r="C2" s="4">
        <v>180</v>
      </c>
    </row>
    <row r="3" spans="1:3" x14ac:dyDescent="0.25">
      <c r="B3" s="4">
        <v>50</v>
      </c>
      <c r="C3" s="4">
        <v>178</v>
      </c>
    </row>
    <row r="4" spans="1:3" x14ac:dyDescent="0.25">
      <c r="B4" s="4">
        <v>60</v>
      </c>
      <c r="C4" s="4">
        <v>179</v>
      </c>
    </row>
    <row r="5" spans="1:3" x14ac:dyDescent="0.25">
      <c r="B5" s="4">
        <v>70</v>
      </c>
      <c r="C5" s="4">
        <v>177</v>
      </c>
    </row>
    <row r="6" spans="1:3" x14ac:dyDescent="0.25">
      <c r="B6" s="4">
        <v>62</v>
      </c>
      <c r="C6" s="4">
        <v>180</v>
      </c>
    </row>
    <row r="7" spans="1:3" x14ac:dyDescent="0.25">
      <c r="B7" s="4">
        <v>55</v>
      </c>
      <c r="C7" s="4">
        <v>179</v>
      </c>
    </row>
    <row r="8" spans="1:3" x14ac:dyDescent="0.25">
      <c r="B8" s="4">
        <v>58</v>
      </c>
      <c r="C8" s="4">
        <v>177</v>
      </c>
    </row>
    <row r="9" spans="1:3" x14ac:dyDescent="0.25">
      <c r="B9" s="4">
        <v>60</v>
      </c>
      <c r="C9" s="4">
        <v>176</v>
      </c>
    </row>
    <row r="11" spans="1:3" x14ac:dyDescent="0.25">
      <c r="A11" t="s">
        <v>29</v>
      </c>
      <c r="B11">
        <f>PEARSON(B2:B9,C2:C9)</f>
        <v>0.3499666744179209</v>
      </c>
    </row>
    <row r="12" spans="1:3" x14ac:dyDescent="0.25">
      <c r="A12" s="1"/>
    </row>
    <row r="14" spans="1:3" x14ac:dyDescent="0.25">
      <c r="A14" t="s">
        <v>30</v>
      </c>
    </row>
    <row r="15" spans="1:3" x14ac:dyDescent="0.25">
      <c r="A15" t="s">
        <v>31</v>
      </c>
      <c r="B15" t="s">
        <v>28</v>
      </c>
    </row>
    <row r="16" spans="1:3" x14ac:dyDescent="0.25">
      <c r="A16" t="s">
        <v>32</v>
      </c>
      <c r="B16" t="s">
        <v>27</v>
      </c>
    </row>
    <row r="18" spans="1:2" x14ac:dyDescent="0.25">
      <c r="A18" t="s">
        <v>33</v>
      </c>
      <c r="B18">
        <f>SLOPE(C2:C9,B2:B9)</f>
        <v>4.2422087925109611E-2</v>
      </c>
    </row>
    <row r="19" spans="1:2" x14ac:dyDescent="0.25">
      <c r="A19" t="s">
        <v>34</v>
      </c>
      <c r="B19">
        <f>INTERCEPT(C2:C9,B2:B9)</f>
        <v>175.57210569972744</v>
      </c>
    </row>
    <row r="22" spans="1:2" x14ac:dyDescent="0.25">
      <c r="A22" t="s">
        <v>37</v>
      </c>
    </row>
    <row r="23" spans="1:2" x14ac:dyDescent="0.25">
      <c r="A23" t="s">
        <v>35</v>
      </c>
    </row>
    <row r="24" spans="1:2" x14ac:dyDescent="0.25">
      <c r="A24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ChiSquare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David</cp:lastModifiedBy>
  <dcterms:created xsi:type="dcterms:W3CDTF">2026-03-09T15:18:07Z</dcterms:created>
  <dcterms:modified xsi:type="dcterms:W3CDTF">2026-03-09T21:17:13Z</dcterms:modified>
</cp:coreProperties>
</file>